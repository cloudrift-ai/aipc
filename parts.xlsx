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lf" sheetId="1" state="visible" r:id="rId1"/>
    <sheet name="Berserk" sheetId="2" state="visible" r:id="rId2"/>
    <sheet name="Kensh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2" fillId="0" borderId="0" pivotButton="0" quotePrefix="0" xfId="0"/>
    <xf numFmtId="164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rts_Shelf" displayName="Parts_Shelf" ref="A1:H9" headerRowCount="1">
  <autoFilter ref="A1:H9"/>
  <tableColumns count="8">
    <tableColumn id="1" name="Item"/>
    <tableColumn id="2" name="Qty"/>
    <tableColumn id="3" name="Unit"/>
    <tableColumn id="4" name="Unit price (USD)"/>
    <tableColumn id="5" name="Total (USD)"/>
    <tableColumn id="6" name="Link"/>
    <tableColumn id="7" name="More links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Parts_Berserk" displayName="Parts_Berserk" ref="A1:H15" headerRowCount="1">
  <autoFilter ref="A1:H15"/>
  <tableColumns count="8">
    <tableColumn id="1" name="Item"/>
    <tableColumn id="2" name="Qty"/>
    <tableColumn id="3" name="Unit"/>
    <tableColumn id="4" name="Unit price (USD)"/>
    <tableColumn id="5" name="Total (USD)"/>
    <tableColumn id="6" name="Link"/>
    <tableColumn id="7" name="More links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Parts_Kenshin" displayName="Parts_Kenshin" ref="A1:H8" headerRowCount="1">
  <autoFilter ref="A1:H8"/>
  <tableColumns count="8">
    <tableColumn id="1" name="Item"/>
    <tableColumn id="2" name="Qty"/>
    <tableColumn id="3" name="Unit"/>
    <tableColumn id="4" name="Unit price (USD)"/>
    <tableColumn id="5" name="Total (USD)"/>
    <tableColumn id="6" name="Link"/>
    <tableColumn id="7" name="More link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detail/startech-com/ADJSHELFHDV/22260579" TargetMode="External" Id="rId1" /><Relationship Type="http://schemas.openxmlformats.org/officeDocument/2006/relationships/hyperlink" Target="https://www.digikey.com/en/products/detail/keystone-electronics/1451B/303586" TargetMode="External" Id="rId2" /><Relationship Type="http://schemas.openxmlformats.org/officeDocument/2006/relationships/hyperlink" Target="https://store.openbenchtable.com/products/obt-pci-e-thumbscrew-nut-pack" TargetMode="External" Id="rId3" /><Relationship Type="http://schemas.openxmlformats.org/officeDocument/2006/relationships/hyperlink" Target="https://www.digikey.com/en/products/detail/w%C3%BCrth-elektronik/970100354/9488551" TargetMode="External" Id="rId4" /><Relationship Type="http://schemas.openxmlformats.org/officeDocument/2006/relationships/table" Target="/xl/tables/table1.xml" Id="rId5" /></Relationships>
</file>

<file path=xl/worksheets/_rels/sheet2.xml.rels><ns0:Relationships xmlns:ns0="http://schemas.openxmlformats.org/package/2006/relationships"><ns0:Relationship Type="http://schemas.openxmlformats.org/officeDocument/2006/relationships/hyperlink" Target="https://www.ebay.com/itm/396800856844" TargetMode="External" Id="rId1" /><ns0:Relationship Type="http://schemas.openxmlformats.org/officeDocument/2006/relationships/hyperlink" Target="https://www.ebay.com/itm/327314931099" TargetMode="External" Id="rId2" /><ns0:Relationship Type="http://schemas.openxmlformats.org/officeDocument/2006/relationships/hyperlink" Target="https://www.ebay.com/itm/256383020187" TargetMode="External" Id="rId3" /><ns0:Relationship Type="http://schemas.openxmlformats.org/officeDocument/2006/relationships/hyperlink" Target="https://www.moddiy.com/products/5840/CPU-EPS-90%C2%B0-L-Shape-Mini-Low-Profile-EPS-Power-Cable-8-Pin-Down-Angle.html" TargetMode="External" Id="rId4" /><ns0:Relationship Type="http://schemas.openxmlformats.org/officeDocument/2006/relationships/hyperlink" Target="https://www.digikey.com/en/products/detail/sanyo-denki-america-inc/9GV1412P1S001/8284659" TargetMode="External" Id="rId5" /><ns0:Relationship Type="http://schemas.openxmlformats.org/officeDocument/2006/relationships/hyperlink" Target="https://publish.sanyodenki.com/San_Ace_E/book/data/San_Ace_E.pdf" TargetMode="External" Id="rId6" /><ns0:Relationship Type="http://schemas.openxmlformats.org/officeDocument/2006/relationships/hyperlink" Target="https://www.amazon.ae/Sutemribor-Hammer-Fastener-Aluminum-Profile/dp/B07FPLZXTF" TargetMode="External" Id="rId7" /><ns0:Relationship Type="http://schemas.openxmlformats.org/officeDocument/2006/relationships/hyperlink" Target="https://www.mcmaster.com/53185K52/" TargetMode="External" Id="rId8" /><ns0:Relationship Type="http://schemas.openxmlformats.org/officeDocument/2006/relationships/table" Target="/xl/tables/table2.xml" Id="rId9" /><ns0:Relationship Id="rIdSSDListing" Type="http://schemas.openxmlformats.org/officeDocument/2006/relationships/hyperlink" Target="https://www.ebay.com/itm/880031659135" TargetMode="External" /></ns0:Relationships>
</file>

<file path=xl/worksheets/_rels/sheet3.xml.rels><Relationships xmlns="http://schemas.openxmlformats.org/package/2006/relationships"><Relationship Type="http://schemas.openxmlformats.org/officeDocument/2006/relationships/hyperlink" Target="https://lian-li.com/product/ga-ii-lite/" TargetMode="Externa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" customWidth="1" min="2" max="2"/>
    <col width="9" customWidth="1" min="3" max="3"/>
    <col width="14" customWidth="1" min="4" max="4"/>
    <col width="12" customWidth="1" min="5" max="5"/>
    <col width="16" customWidth="1" min="6" max="6"/>
    <col width="40" customWidth="1" min="7" max="7"/>
    <col width="90" customWidth="1" min="8" max="8"/>
  </cols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  <c r="D1" t="inlineStr">
        <is>
          <t>Unit price (USD)</t>
        </is>
      </c>
      <c r="E1" t="inlineStr">
        <is>
          <t>Total (USD)</t>
        </is>
      </c>
      <c r="F1" t="inlineStr">
        <is>
          <t>Link</t>
        </is>
      </c>
      <c r="G1" t="inlineStr">
        <is>
          <t>More links</t>
        </is>
      </c>
      <c r="H1" t="inlineStr">
        <is>
          <t>Notes</t>
        </is>
      </c>
    </row>
    <row r="2">
      <c r="A2" s="1" t="inlineStr">
        <is>
          <t>StarTech ADJSHELFHDV 1U four-post vented shelf</t>
        </is>
      </c>
      <c r="B2" s="1" t="n">
        <v>1</v>
      </c>
      <c r="C2" s="1" t="inlineStr">
        <is>
          <t>each</t>
        </is>
      </c>
      <c r="D2" s="2" t="n">
        <v>166.13</v>
      </c>
      <c r="E2" s="2">
        <f>IF(OR(B2="",D2=""),"",B2*D2)</f>
        <v/>
      </c>
      <c r="F2" s="3" t="inlineStr">
        <is>
          <t>DigiKey</t>
        </is>
      </c>
      <c r="G2" s="1" t="inlineStr"/>
      <c r="H2" s="1" t="inlineStr">
        <is>
          <t>700 × 446 mm steel deck. The build drills new mounting holes into it; survey the real lips, vents and cabinet liners first.</t>
        </is>
      </c>
    </row>
    <row r="3">
      <c r="A3" s="1" t="inlineStr">
        <is>
          <t>Keystone 1451B #6-32 F/F brass standoff, 3/8 in (9.53 mm)</t>
        </is>
      </c>
      <c r="B3" s="1" t="n">
        <v>17</v>
      </c>
      <c r="C3" s="1" t="inlineStr">
        <is>
          <t>each</t>
        </is>
      </c>
      <c r="D3" s="2" t="n">
        <v>0.88</v>
      </c>
      <c r="E3" s="2">
        <f>IF(OR(B3="",D3=""),"",B3*D3)</f>
        <v/>
      </c>
      <c r="F3" s="3" t="inlineStr">
        <is>
          <t>DigiKey</t>
        </is>
      </c>
      <c r="G3" s="1" t="inlineStr"/>
      <c r="H3" s="1" t="inlineStr">
        <is>
          <t>Eight for the H12D, nine for the X870E. Fit only the board's populated holes; ground one standoff to the shelf.</t>
        </is>
      </c>
    </row>
    <row r="4">
      <c r="A4" s="1" t="inlineStr">
        <is>
          <t>Open Benchtable PCI-E support + nut, 2-pack</t>
        </is>
      </c>
      <c r="B4" s="1" t="n">
        <v>5</v>
      </c>
      <c r="C4" s="1" t="inlineStr">
        <is>
          <t>2-pack</t>
        </is>
      </c>
      <c r="D4" s="2" t="n">
        <v>10</v>
      </c>
      <c r="E4" s="2">
        <f>IF(OR(B4="",D4=""),"",B4*D4)</f>
        <v/>
      </c>
      <c r="F4" s="3" t="inlineStr">
        <is>
          <t>Open Benchtable</t>
        </is>
      </c>
      <c r="G4" s="1" t="inlineStr"/>
      <c r="H4" s="1" t="inlineStr">
        <is>
          <t>Ten metal posts, two per GPU, for five GPUs.</t>
        </is>
      </c>
    </row>
    <row r="5">
      <c r="A5" s="1" t="inlineStr">
        <is>
          <t>Würth 970100354 M3 F/F brass standoff, 10 mm</t>
        </is>
      </c>
      <c r="B5" s="1" t="n">
        <v>10</v>
      </c>
      <c r="C5" s="1" t="inlineStr">
        <is>
          <t>each</t>
        </is>
      </c>
      <c r="D5" s="2" t="n">
        <v>0.47</v>
      </c>
      <c r="E5" s="2">
        <f>IF(OR(B5="",D5=""),"",B5*D5)</f>
        <v/>
      </c>
      <c r="F5" s="3" t="inlineStr">
        <is>
          <t>DigiKey</t>
        </is>
      </c>
      <c r="G5" s="1" t="inlineStr"/>
      <c r="H5" s="1" t="inlineStr">
        <is>
          <t>One under each GPU post; clamps the post and the motherboard adapter to the steel.</t>
        </is>
      </c>
    </row>
    <row r="6">
      <c r="A6" s="1" t="inlineStr">
        <is>
          <t>Shelf fasteners and backing washers</t>
        </is>
      </c>
      <c r="B6" s="1" t="n">
        <v>39</v>
      </c>
      <c r="C6" s="1" t="inlineStr">
        <is>
          <t>joints</t>
        </is>
      </c>
      <c r="D6" s="2" t="n"/>
      <c r="E6" s="2">
        <f>IF(OR(B6="",D6=""),"",B6*D6)</f>
        <v/>
      </c>
      <c r="F6" s="1" t="n"/>
      <c r="G6" s="1" t="inlineStr"/>
      <c r="H6" s="1" t="inlineStr">
        <is>
          <t>25 M4 joints (21 printed mounts, four V100 tail spacers) and 14 M3 joints (four front motherboard anchors, ten GPU-post joints). Stacks and lengths are in mount-hole-manifest.json and the assembly guide.</t>
        </is>
      </c>
    </row>
    <row r="7">
      <c r="A7" s="1" t="inlineStr">
        <is>
          <t>Component fasteners and interface hardware</t>
        </is>
      </c>
      <c r="B7" s="1" t="n">
        <v>1</v>
      </c>
      <c r="C7" s="1" t="inlineStr">
        <is>
          <t>set</t>
        </is>
      </c>
      <c r="D7" s="2" t="n"/>
      <c r="E7" s="2">
        <f>IF(OR(B7="",D7=""),"",B7*D7)</f>
        <v/>
      </c>
      <c r="F7" s="1" t="n"/>
      <c r="G7" s="1" t="inlineStr"/>
      <c r="H7" s="1" t="inlineStr">
        <is>
          <t>17 low-head #6-32 standoff screws, PSU and radiator screws, four M4 × 20 mm F/F metal tail spacers with 4 mm silicone pads, nonconductive foam seal for the GPU hood.</t>
        </is>
      </c>
    </row>
    <row r="8">
      <c r="A8" s="1" t="inlineStr">
        <is>
          <t>AC power cords</t>
        </is>
      </c>
      <c r="B8" s="1" t="n">
        <v>2</v>
      </c>
      <c r="C8" s="1" t="inlineStr">
        <is>
          <t>each</t>
        </is>
      </c>
      <c r="D8" s="2" t="n"/>
      <c r="E8" s="2">
        <f>IF(OR(B8="",D8=""),"",B8*D8)</f>
        <v/>
      </c>
      <c r="F8" s="1" t="n"/>
      <c r="G8" s="1" t="inlineStr"/>
      <c r="H8" s="1" t="inlineStr">
        <is>
          <t>Corsair: low-profile or down-exit C13. Rosewill: match its inlet and the UPS outlet (it may need C19).</t>
        </is>
      </c>
    </row>
    <row r="9">
      <c r="A9" s="1" t="inlineStr">
        <is>
          <t>Printed parts</t>
        </is>
      </c>
      <c r="B9" s="1" t="n">
        <v>18</v>
      </c>
      <c r="C9" s="1" t="inlineStr">
        <is>
          <t>each</t>
        </is>
      </c>
      <c r="D9" s="2" t="n"/>
      <c r="E9" s="2">
        <f>IF(OR(B9="",D9=""),"",B9*D9)</f>
        <v/>
      </c>
      <c r="F9" s="1" t="n"/>
      <c r="G9" s="1" t="inlineStr"/>
      <c r="H9" s="1" t="inlineStr">
        <is>
          <t>17 installed parts plus one fit coupon, on 14 plates. See print/README.md.</t>
        </is>
      </c>
    </row>
    <row r="11">
      <c r="A11" s="4" t="inlineStr">
        <is>
          <t>Known total</t>
        </is>
      </c>
      <c r="E11" s="5">
        <f>SUM(E2:E9)</f>
        <v/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" customWidth="1" min="2" max="2"/>
    <col width="9" customWidth="1" min="3" max="3"/>
    <col width="14" customWidth="1" min="4" max="4"/>
    <col width="12" customWidth="1" min="5" max="5"/>
    <col width="16" customWidth="1" min="6" max="6"/>
    <col width="40" customWidth="1" min="7" max="7"/>
    <col width="90" customWidth="1" min="8" max="8"/>
  </cols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  <c r="D1" t="inlineStr">
        <is>
          <t>Unit price (USD)</t>
        </is>
      </c>
      <c r="E1" t="inlineStr">
        <is>
          <t>Total (USD)</t>
        </is>
      </c>
      <c r="F1" t="inlineStr">
        <is>
          <t>Link</t>
        </is>
      </c>
      <c r="G1" t="inlineStr">
        <is>
          <t>More links</t>
        </is>
      </c>
      <c r="H1" t="inlineStr">
        <is>
          <t>Notes</t>
        </is>
      </c>
    </row>
    <row r="2">
      <c r="A2" s="1" t="inlineStr">
        <is>
          <t>HUANANZHI H12D-8D + BMC with AMD EPYC 7702P (64 cores)</t>
        </is>
      </c>
      <c r="B2" s="1" t="n">
        <v>1</v>
      </c>
      <c r="C2" s="1" t="inlineStr">
        <is>
          <t>each</t>
        </is>
      </c>
      <c r="D2" s="2" t="n">
        <v>1250</v>
      </c>
      <c r="E2" s="2">
        <f>IF(OR(B2="",D2=""),"",B2*D2)</f>
        <v/>
      </c>
      <c r="F2" s="3" t="inlineStr">
        <is>
          <t>eBay listing</t>
        </is>
      </c>
      <c r="G2" s="1" t="inlineStr">
        <is>
          <t>https://www.huananzhi.com/en/list_6/177.html</t>
        </is>
      </c>
      <c r="H2" s="1" t="inlineStr">
        <is>
          <t>305 × 245 mm SP3 board, four PCIe 4.0 x16 slots, eight memory channels. Confirm PCB revision, CPU marking and that the CPU is not vendor-locked.</t>
        </is>
      </c>
    </row>
    <row r="3">
      <c r="A3" s="1" t="inlineStr">
        <is>
          <t>DDR4-3200 ECC RDIMM, 16 GB</t>
        </is>
      </c>
      <c r="B3" s="1" t="n">
        <v>8</v>
      </c>
      <c r="C3" s="1" t="inlineStr">
        <is>
          <t>each</t>
        </is>
      </c>
      <c r="D3" s="2" t="n"/>
      <c r="E3" s="2">
        <f>IF(OR(B3="",D3=""),"",B3*D3)</f>
        <v/>
      </c>
      <c r="F3" s="1" t="n"/>
      <c r="G3" s="1" t="inlineStr"/>
      <c r="H3" s="1" t="inlineStr">
        <is>
          <t>One per channel, 128 GB total. Buy a matched set supported by the board.</t>
        </is>
      </c>
    </row>
    <row r="4">
      <c r="A4" s="1" t="inlineStr">
        <is>
          <t>NVIDIA Tesla V100 PCIe 16 GB</t>
        </is>
      </c>
      <c r="B4" s="1" t="n">
        <v>4</v>
      </c>
      <c r="C4" s="1" t="inlineStr">
        <is>
          <t>each</t>
        </is>
      </c>
      <c r="D4" s="2" t="n"/>
      <c r="E4" s="2">
        <f>IF(OR(B4="",D4=""),"",B4*D4)</f>
        <v/>
      </c>
      <c r="F4" s="3" t="inlineStr">
        <is>
          <t>eBay</t>
        </is>
      </c>
      <c r="G4" s="1" t="inlineStr">
        <is>
          <t>https://www.ebay.com/itm/127840399241, https://www.nvidia.com/content/dam/en-zz/Solutions/Data-Center/tesla-product-literature/Tesla-V100-PCIe-Product-Brief.pdf</t>
        </is>
      </c>
      <c r="H4" s="1" t="inlineStr">
        <is>
          <t>Price $244.99–359.99. Genuine PCIe cards, passive 250 W. Remove the OEM extenders. Start around 180 W per card.</t>
        </is>
      </c>
    </row>
    <row r="5">
      <c r="A5" s="1" t="inlineStr">
        <is>
          <t>V100 power adapter, dual PCIe 8-pin to CPU/EPS 8-pin (030-0571-000 compatible)</t>
        </is>
      </c>
      <c r="B5" s="1" t="n">
        <v>4</v>
      </c>
      <c r="C5" s="1" t="inlineStr">
        <is>
          <t>each</t>
        </is>
      </c>
      <c r="D5" s="2" t="n">
        <v>20.9</v>
      </c>
      <c r="E5" s="2">
        <f>IF(OR(B5="",D5=""),"",B5*D5)</f>
        <v/>
      </c>
      <c r="F5" s="3" t="inlineStr">
        <is>
          <t>eBay</t>
        </is>
      </c>
      <c r="G5" s="1" t="inlineStr"/>
      <c r="H5" s="1" t="inlineStr">
        <is>
          <t>Check the pinout against NVIDIA's brief before use. Never plug a PCIe 8-pin straight into a V100.</t>
        </is>
      </c>
    </row>
    <row r="6">
      <c r="A6" s="1" t="inlineStr">
        <is>
          <t>Low-profile 90° CPU/EPS 8-pin extension</t>
        </is>
      </c>
      <c r="B6" s="1" t="n">
        <v>4</v>
      </c>
      <c r="C6" s="1" t="inlineStr">
        <is>
          <t>each</t>
        </is>
      </c>
      <c r="D6" s="2" t="n">
        <v>14.99</v>
      </c>
      <c r="E6" s="2">
        <f>IF(OR(B6="",D6=""),"",B6*D6)</f>
        <v/>
      </c>
      <c r="F6" s="3" t="inlineStr">
        <is>
          <t>MODDIY</t>
        </is>
      </c>
      <c r="G6" s="1" t="inlineStr"/>
      <c r="H6" s="1" t="inlineStr">
        <is>
          <t>Keeps the GPU power leads under the 6U ceiling. The CAD reserves 18 mm; verify the real projection and rating.</t>
        </is>
      </c>
    </row>
    <row r="7">
      <c r="A7" s="1" t="inlineStr">
        <is>
          <t>Sanyo Denki 9GV1412P1S001 fan, 140 × 140 × 38 mm</t>
        </is>
      </c>
      <c r="B7" s="1" t="n">
        <v>1</v>
      </c>
      <c r="C7" s="1" t="inlineStr">
        <is>
          <t>each</t>
        </is>
      </c>
      <c r="D7" s="2" t="n">
        <v>82.26000000000001</v>
      </c>
      <c r="E7" s="2">
        <f>IF(OR(B7="",D7=""),"",B7*D7)</f>
        <v/>
      </c>
      <c r="F7" s="3" t="inlineStr">
        <is>
          <t>DigiKey</t>
        </is>
      </c>
      <c r="G7" s="1" t="inlineStr"/>
      <c r="H7" s="1" t="inlineStr">
        <is>
          <t>Pulls air through all four V100 heatsinks via the printed hood. 12 V, 3.1 A.</t>
        </is>
      </c>
    </row>
    <row r="8">
      <c r="A8" s="1" t="inlineStr">
        <is>
          <t>PSU-powered fan controller and harness</t>
        </is>
      </c>
      <c r="B8" s="1" t="n">
        <v>1</v>
      </c>
      <c r="C8" s="1" t="inlineStr">
        <is>
          <t>each</t>
        </is>
      </c>
      <c r="D8" s="2" t="n"/>
      <c r="E8" s="2">
        <f>IF(OR(B8="",D8=""),"",B8*D8)</f>
        <v/>
      </c>
      <c r="F8" s="3" t="inlineStr">
        <is>
          <t>fan catalog</t>
        </is>
      </c>
      <c r="G8" s="1" t="inlineStr"/>
      <c r="H8" s="1" t="inlineStr">
        <is>
          <t>12 V motor power from the PSU (not a motherboard header), 25 kHz PWM, tach monitoring, control from the hottest GPU.</t>
        </is>
      </c>
    </row>
    <row r="9">
      <c r="A9" s="1" t="inlineStr">
        <is>
          <t>GPU fan and exhaust fasteners</t>
        </is>
      </c>
      <c r="B9" s="1" t="n">
        <v>1</v>
      </c>
      <c r="C9" s="1" t="inlineStr">
        <is>
          <t>set</t>
        </is>
      </c>
      <c r="D9" s="2" t="n"/>
      <c r="E9" s="2">
        <f>IF(OR(B9="",D9=""),"",B9*D9)</f>
        <v/>
      </c>
      <c r="F9" s="3" t="inlineStr">
        <is>
          <t>T-nut example</t>
        </is>
      </c>
      <c r="G9" s="1" t="inlineStr"/>
      <c r="H9" s="1" t="inlineStr">
        <is>
          <t>8 M4 2020 hammer T-nuts, 4 M4 × 14 and 4 M4 × 16 socket-cap screws, 8 OD9 × 1 washers; roof: 4 M4 × 20 bolts, 4 nuts, 8 OD12 × 1 washers.</t>
        </is>
      </c>
    </row>
    <row r="10">
      <c r="A10" s="1" t="inlineStr">
        <is>
          <t>McMaster 53185K52 lever-release hose clamp</t>
        </is>
      </c>
      <c r="B10" s="1" t="n">
        <v>2</v>
      </c>
      <c r="C10" s="1" t="inlineStr">
        <is>
          <t>each</t>
        </is>
      </c>
      <c r="D10" s="2" t="n">
        <v>21.92</v>
      </c>
      <c r="E10" s="2">
        <f>IF(OR(B10="",D10=""),"",B10*D10)</f>
        <v/>
      </c>
      <c r="F10" s="3" t="inlineStr">
        <is>
          <t>McMaster</t>
        </is>
      </c>
      <c r="G10" s="1" t="inlineStr"/>
      <c r="H10" s="1" t="inlineStr">
        <is>
          <t>One at each end of the duct.</t>
        </is>
      </c>
    </row>
    <row r="11">
      <c r="A11" s="1" t="inlineStr">
        <is>
          <t>6-inch wire-supported flexible duct</t>
        </is>
      </c>
      <c r="B11" s="1" t="n">
        <v>1</v>
      </c>
      <c r="C11" s="1" t="inlineStr">
        <is>
          <t>m</t>
        </is>
      </c>
      <c r="D11" s="2" t="n"/>
      <c r="E11" s="2">
        <f>IF(OR(B11="",D11=""),"",B11*D11)</f>
        <v/>
      </c>
      <c r="F11" s="1" t="n"/>
      <c r="G11" s="1" t="inlineStr"/>
      <c r="H11" s="1" t="inlineStr">
        <is>
          <t>Uninsulated; trim after fitting.</t>
        </is>
      </c>
    </row>
    <row r="12">
      <c r="A12" s="1" t="inlineStr">
        <is>
          <t>2 mm silicone foam gasket sheet, 200 × 200 mm</t>
        </is>
      </c>
      <c r="B12" s="1" t="n">
        <v>1</v>
      </c>
      <c r="C12" s="1" t="inlineStr">
        <is>
          <t>each</t>
        </is>
      </c>
      <c r="D12" s="2" t="n"/>
      <c r="E12" s="2">
        <f>IF(OR(B12="",D12=""),"",B12*D12)</f>
        <v/>
      </c>
      <c r="F12" s="1" t="n"/>
      <c r="G12" s="1" t="inlineStr"/>
      <c r="H12" s="1" t="inlineStr">
        <is>
          <t>Roof-flange seal.</t>
        </is>
      </c>
    </row>
    <row r="13" ht="48" customHeight="1">
      <c r="A13" s="1" t="str">
        <v>SK hynix PC801 2 TB NVMe (HFS002TEJ9X101NFC)</v>
      </c>
      <c r="B13" s="1" t="n">
        <v>3</v>
      </c>
      <c r="C13" s="1" t="inlineStr">
        <is>
          <t>each</t>
        </is>
      </c>
      <c r="D13" s="2" t="n">
        <v>204.99</v>
      </c>
      <c r="E13" s="2" t="n">
        <f>IF(OR(B13="",D13=""),"",B13*D13)</f>
        <v>614.97</v>
      </c>
      <c r="F13" s="1" t="str">
        <v>eBay listing</v>
      </c>
      <c r="G13" s="1" t="inlineStr"/>
      <c r="H13" s="1" t="str">
        <v>3-drive RAID 0, 6 TB nominal. Used; seller reports 100% health. Free US shipping, tax extra (2026-10-22). All M.2 slots occupied; boot layout and SSD cooling/clearance unverified.</v>
      </c>
    </row>
    <row r="14">
      <c r="A14" s="1" t="inlineStr">
        <is>
          <t>Corsair Hydro H115i (280 mm AIO)</t>
        </is>
      </c>
      <c r="B14" s="1" t="n">
        <v>1</v>
      </c>
      <c r="C14" s="1" t="inlineStr">
        <is>
          <t>each</t>
        </is>
      </c>
      <c r="D14" s="2" t="n"/>
      <c r="E14" s="2">
        <f>IF(OR(B14="",D14=""),"",B14*D14)</f>
        <v/>
      </c>
      <c r="F14" s="1" t="n"/>
      <c r="G14" s="1" t="inlineStr"/>
      <c r="H14" s="1" t="inlineStr">
        <is>
          <t>Reused. Needs a compatible SP3 mounting bracket; check cold-plate coverage and hose reach.</t>
        </is>
      </c>
    </row>
    <row r="15">
      <c r="A15" s="1" t="inlineStr">
        <is>
          <t>Rosewill Hercules 1600 W PSU</t>
        </is>
      </c>
      <c r="B15" s="1" t="n">
        <v>1</v>
      </c>
      <c r="C15" s="1" t="inlineStr">
        <is>
          <t>each</t>
        </is>
      </c>
      <c r="D15" s="2" t="n"/>
      <c r="E15" s="2">
        <f>IF(OR(B15="",D15=""),"",B15*D15)</f>
        <v/>
      </c>
      <c r="F15" s="1" t="n"/>
      <c r="G15" s="1" t="inlineStr"/>
      <c r="H15" s="1" t="inlineStr">
        <is>
          <t>Reused, with its own modular cables. Needs 24-pin, two EPS 8-pin and eight PCIe 8-pin feeds.</t>
        </is>
      </c>
    </row>
    <row r="17">
      <c r="A17" s="4" t="inlineStr">
        <is>
          <t>Known total</t>
        </is>
      </c>
      <c r="E17" s="5" t="n">
        <f>SUM(E2:E15)</f>
        <v>2134.63</v>
      </c>
    </row>
  </sheetData>
  <hyperlinks>
    <hyperlink ref="F2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3" r:id="rIdSSDListing"/>
  </hyperlinks>
  <pageMargins left="0.75" right="0.75" top="1" bottom="1" header="0.5" footer="0.5"/>
  <tableParts count="1">
    <tablePart r:id="rId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" customWidth="1" min="2" max="2"/>
    <col width="9" customWidth="1" min="3" max="3"/>
    <col width="14" customWidth="1" min="4" max="4"/>
    <col width="12" customWidth="1" min="5" max="5"/>
    <col width="16" customWidth="1" min="6" max="6"/>
    <col width="40" customWidth="1" min="7" max="7"/>
    <col width="90" customWidth="1" min="8" max="8"/>
  </cols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  <c r="D1" t="inlineStr">
        <is>
          <t>Unit price (USD)</t>
        </is>
      </c>
      <c r="E1" t="inlineStr">
        <is>
          <t>Total (USD)</t>
        </is>
      </c>
      <c r="F1" t="inlineStr">
        <is>
          <t>Link</t>
        </is>
      </c>
      <c r="G1" t="inlineStr">
        <is>
          <t>More links</t>
        </is>
      </c>
      <c r="H1" t="inlineStr">
        <is>
          <t>Notes</t>
        </is>
      </c>
    </row>
    <row r="2">
      <c r="A2" s="1" t="inlineStr">
        <is>
          <t>AMD Ryzen 9 9950X3D</t>
        </is>
      </c>
      <c r="B2" s="1" t="n">
        <v>1</v>
      </c>
      <c r="C2" s="1" t="inlineStr">
        <is>
          <t>each</t>
        </is>
      </c>
      <c r="D2" s="2" t="n"/>
      <c r="E2" s="2">
        <f>IF(OR(B2="",D2=""),"",B2*D2)</f>
        <v/>
      </c>
      <c r="F2" s="1" t="n"/>
      <c r="G2" s="1" t="inlineStr"/>
      <c r="H2" s="1" t="inlineStr"/>
    </row>
    <row r="3">
      <c r="A3" s="1" t="inlineStr">
        <is>
          <t>Gigabyte X870E AORUS PRO (ATX)</t>
        </is>
      </c>
      <c r="B3" s="1" t="n">
        <v>1</v>
      </c>
      <c r="C3" s="1" t="inlineStr">
        <is>
          <t>each</t>
        </is>
      </c>
      <c r="D3" s="2" t="n"/>
      <c r="E3" s="2">
        <f>IF(OR(B3="",D3=""),"",B3*D3)</f>
        <v/>
      </c>
      <c r="F3" s="1" t="n"/>
      <c r="G3" s="1" t="inlineStr"/>
      <c r="H3" s="1" t="inlineStr"/>
    </row>
    <row r="4">
      <c r="A4" s="1" t="inlineStr">
        <is>
          <t>Corsair CMP64GX5M4B6400C32 DDR5 kit, 4 × 16 GB</t>
        </is>
      </c>
      <c r="B4" s="1" t="n">
        <v>1</v>
      </c>
      <c r="C4" s="1" t="inlineStr">
        <is>
          <t>each</t>
        </is>
      </c>
      <c r="D4" s="2" t="n"/>
      <c r="E4" s="2">
        <f>IF(OR(B4="",D4=""),"",B4*D4)</f>
        <v/>
      </c>
      <c r="F4" s="1" t="n"/>
      <c r="G4" s="1" t="inlineStr"/>
      <c r="H4" s="1" t="inlineStr"/>
    </row>
    <row r="5">
      <c r="A5" s="1" t="inlineStr">
        <is>
          <t>Zotac Gaming GeForce RTX 5090 Solid 32 GB</t>
        </is>
      </c>
      <c r="B5" s="1" t="n">
        <v>1</v>
      </c>
      <c r="C5" s="1" t="inlineStr">
        <is>
          <t>each</t>
        </is>
      </c>
      <c r="D5" s="2" t="n"/>
      <c r="E5" s="2">
        <f>IF(OR(B5="",D5=""),"",B5*D5)</f>
        <v/>
      </c>
      <c r="F5" s="1" t="n"/>
      <c r="G5" s="1" t="inlineStr"/>
      <c r="H5" s="1" t="inlineStr"/>
    </row>
    <row r="6">
      <c r="A6" s="1" t="inlineStr">
        <is>
          <t>Samsung 990 PRO 4 TB NVMe</t>
        </is>
      </c>
      <c r="B6" s="1" t="n">
        <v>2</v>
      </c>
      <c r="C6" s="1" t="inlineStr">
        <is>
          <t>each</t>
        </is>
      </c>
      <c r="D6" s="2" t="n"/>
      <c r="E6" s="2">
        <f>IF(OR(B6="",D6=""),"",B6*D6)</f>
        <v/>
      </c>
      <c r="F6" s="1" t="n"/>
      <c r="G6" s="1" t="inlineStr"/>
      <c r="H6" s="1" t="inlineStr"/>
    </row>
    <row r="7">
      <c r="A7" s="1" t="inlineStr">
        <is>
          <t>Corsair HX1200i PSU</t>
        </is>
      </c>
      <c r="B7" s="1" t="n">
        <v>1</v>
      </c>
      <c r="C7" s="1" t="inlineStr">
        <is>
          <t>each</t>
        </is>
      </c>
      <c r="D7" s="2" t="n"/>
      <c r="E7" s="2">
        <f>IF(OR(B7="",D7=""),"",B7*D7)</f>
        <v/>
      </c>
      <c r="F7" s="1" t="n"/>
      <c r="G7" s="1" t="inlineStr"/>
      <c r="H7" s="1" t="inlineStr"/>
    </row>
    <row r="8">
      <c r="A8" s="1" t="inlineStr">
        <is>
          <t>Lian Li GA II LITE Performance 360 (GA2L36PB)</t>
        </is>
      </c>
      <c r="B8" s="1" t="n">
        <v>1</v>
      </c>
      <c r="C8" s="1" t="inlineStr">
        <is>
          <t>each</t>
        </is>
      </c>
      <c r="D8" s="2" t="n"/>
      <c r="E8" s="2">
        <f>IF(OR(B8="",D8=""),"",B8*D8)</f>
        <v/>
      </c>
      <c r="F8" s="3" t="inlineStr">
        <is>
          <t>specs</t>
        </is>
      </c>
      <c r="G8" s="1" t="inlineStr"/>
      <c r="H8" s="1" t="inlineStr">
        <is>
          <t>360 mm AIO with three 120 mm fans; mounted at the shelf rear, exhausting rearward.</t>
        </is>
      </c>
    </row>
    <row r="10">
      <c r="A10" s="4" t="inlineStr">
        <is>
          <t>Known total</t>
        </is>
      </c>
      <c r="E10" s="5">
        <f>SUM(E2:E8)</f>
        <v/>
      </c>
    </row>
  </sheetData>
  <hyperlinks>
    <hyperlink xmlns:r="http://schemas.openxmlformats.org/officeDocument/2006/relationships" ref="F8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2026-10-21T23:47:02Z</dcterms:created>
  <dcterms:modified xsi:type="dcterms:W3CDTF">2026-10-21T23:47:12Z</dcterms:modified>
</cp:coreProperties>
</file>